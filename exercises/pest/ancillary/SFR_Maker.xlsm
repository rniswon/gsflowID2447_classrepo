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SFLOW_Class_Sacramento\gsflowID2447_classrepo\exercises\pest\ancillary\"/>
    </mc:Choice>
  </mc:AlternateContent>
  <xr:revisionPtr revIDLastSave="0" documentId="13_ncr:1_{CFE09D55-EF9A-4172-B408-1B52755AD797}" xr6:coauthVersionLast="41" xr6:coauthVersionMax="41" xr10:uidLastSave="{00000000-0000-0000-0000-000000000000}"/>
  <bookViews>
    <workbookView xWindow="8327" yWindow="2173" windowWidth="16693" windowHeight="10074" xr2:uid="{69220C8C-9F03-4528-9AA6-CC1F20C6DA81}"/>
  </bookViews>
  <sheets>
    <sheet name="Sheet1" sheetId="1" r:id="rId1"/>
  </sheets>
  <definedNames>
    <definedName name="solver_adj" localSheetId="0" hidden="1">Sheet1!$J$41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Sheet1!$M$41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" i="1" l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11" i="1"/>
  <c r="M11" i="1" s="1"/>
  <c r="L12" i="1"/>
  <c r="M12" i="1" s="1"/>
  <c r="L13" i="1"/>
  <c r="M13" i="1" s="1"/>
  <c r="L14" i="1"/>
  <c r="M14" i="1" s="1"/>
  <c r="L15" i="1"/>
  <c r="M15" i="1" s="1"/>
  <c r="L16" i="1"/>
  <c r="M16" i="1" s="1"/>
  <c r="L17" i="1"/>
  <c r="M17" i="1" s="1"/>
  <c r="L18" i="1"/>
  <c r="M18" i="1" s="1"/>
  <c r="L19" i="1"/>
  <c r="M19" i="1" s="1"/>
  <c r="L20" i="1"/>
  <c r="M20" i="1" s="1"/>
  <c r="L21" i="1"/>
  <c r="M21" i="1" s="1"/>
  <c r="L22" i="1"/>
  <c r="M22" i="1" s="1"/>
  <c r="L23" i="1"/>
  <c r="M23" i="1" s="1"/>
  <c r="L24" i="1"/>
  <c r="M24" i="1" s="1"/>
  <c r="L25" i="1"/>
  <c r="M25" i="1" s="1"/>
  <c r="L26" i="1"/>
  <c r="M26" i="1" s="1"/>
  <c r="L27" i="1"/>
  <c r="M27" i="1" s="1"/>
  <c r="L28" i="1"/>
  <c r="M28" i="1" s="1"/>
  <c r="L29" i="1"/>
  <c r="M29" i="1" s="1"/>
  <c r="L30" i="1"/>
  <c r="M30" i="1" s="1"/>
  <c r="L31" i="1"/>
  <c r="M31" i="1" s="1"/>
  <c r="L32" i="1"/>
  <c r="M32" i="1" s="1"/>
  <c r="L33" i="1"/>
  <c r="M33" i="1" s="1"/>
  <c r="L34" i="1"/>
  <c r="M34" i="1" s="1"/>
  <c r="L35" i="1"/>
  <c r="M35" i="1" s="1"/>
  <c r="L36" i="1"/>
  <c r="M36" i="1" s="1"/>
  <c r="L37" i="1"/>
  <c r="M37" i="1" s="1"/>
  <c r="L38" i="1"/>
  <c r="M38" i="1" s="1"/>
  <c r="L39" i="1"/>
  <c r="M39" i="1" s="1"/>
  <c r="L40" i="1"/>
  <c r="M40" i="1" s="1"/>
  <c r="L41" i="1"/>
  <c r="M41" i="1" s="1"/>
  <c r="L2" i="1"/>
  <c r="M2" i="1" s="1"/>
</calcChain>
</file>

<file path=xl/sharedStrings.xml><?xml version="1.0" encoding="utf-8"?>
<sst xmlns="http://schemas.openxmlformats.org/spreadsheetml/2006/main" count="8" uniqueCount="7">
  <si>
    <t>Stage</t>
  </si>
  <si>
    <t>Cond</t>
  </si>
  <si>
    <t>Rbot</t>
  </si>
  <si>
    <t>L</t>
  </si>
  <si>
    <t>W</t>
  </si>
  <si>
    <t>K</t>
  </si>
  <si>
    <t>StrmThick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</si>
</sst>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165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86E2B-7D16-4D02-B2F5-BEE711EC799F}">
  <sheetPr codeName="Sheet1"/>
  <dimension ref="A1:M41"/>
  <sheetViews>
    <sheetView tabSelected="1" workbookViewId="0"/>
  </sheetViews>
  <sheetFormatPr defaultRowHeight="14.35" x14ac:dyDescent="0.5"/>
  <cols>
    <col min="5" max="5" width="9" style="1" bestFit="1" customWidth="1"/>
    <col min="6" max="6" width="9.234375" style="1" bestFit="1" customWidth="1"/>
    <col min="7" max="7" width="8.9375" style="1"/>
    <col min="13" max="13" width="12.41015625" customWidth="1"/>
  </cols>
  <sheetData>
    <row r="1" spans="1:13" x14ac:dyDescent="0.5">
      <c r="E1" s="1" t="s">
        <v>0</v>
      </c>
      <c r="F1" s="1" t="s">
        <v>1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1</v>
      </c>
    </row>
    <row r="2" spans="1:13" x14ac:dyDescent="0.5">
      <c r="A2">
        <v>1</v>
      </c>
      <c r="B2">
        <v>1</v>
      </c>
      <c r="C2">
        <v>1</v>
      </c>
      <c r="D2">
        <v>15</v>
      </c>
      <c r="E2" s="1">
        <v>20.193165</v>
      </c>
      <c r="F2" s="1">
        <v>5775.8227999999999</v>
      </c>
      <c r="G2" s="1">
        <v>20</v>
      </c>
      <c r="H2" s="2">
        <v>250</v>
      </c>
      <c r="I2" s="1">
        <v>2.6</v>
      </c>
      <c r="J2" s="1">
        <v>1.7771762461541618</v>
      </c>
      <c r="K2" s="3">
        <v>0.2</v>
      </c>
      <c r="L2">
        <f>J2*I2*H2/K2</f>
        <v>5775.8228000010258</v>
      </c>
      <c r="M2" s="1">
        <f>F2-L2</f>
        <v>-1.0259100235998631E-9</v>
      </c>
    </row>
    <row r="3" spans="1:13" x14ac:dyDescent="0.5">
      <c r="A3">
        <v>2</v>
      </c>
      <c r="B3">
        <v>1</v>
      </c>
      <c r="C3">
        <v>2</v>
      </c>
      <c r="D3">
        <v>15</v>
      </c>
      <c r="E3" s="1">
        <v>19.603194999999999</v>
      </c>
      <c r="F3" s="1">
        <v>3790.0164</v>
      </c>
      <c r="G3" s="1">
        <v>19.75</v>
      </c>
      <c r="H3" s="2">
        <v>250</v>
      </c>
      <c r="I3" s="1">
        <v>2.6</v>
      </c>
      <c r="J3" s="1">
        <v>1.1661588923076951</v>
      </c>
      <c r="K3" s="3">
        <v>0.2</v>
      </c>
      <c r="L3">
        <f>J3*I3*H3/K3</f>
        <v>3790.0164000000091</v>
      </c>
      <c r="M3" s="1">
        <f>F3-L3</f>
        <v>-9.0949470177292824E-12</v>
      </c>
    </row>
    <row r="4" spans="1:13" x14ac:dyDescent="0.5">
      <c r="A4">
        <v>3</v>
      </c>
      <c r="B4">
        <v>1</v>
      </c>
      <c r="C4">
        <v>3</v>
      </c>
      <c r="D4">
        <v>15</v>
      </c>
      <c r="E4" s="1">
        <v>19.893018999999999</v>
      </c>
      <c r="F4" s="1">
        <v>5531.6899000000003</v>
      </c>
      <c r="G4" s="1">
        <v>19.5</v>
      </c>
      <c r="H4" s="2">
        <v>250</v>
      </c>
      <c r="I4" s="1">
        <v>2.6</v>
      </c>
      <c r="J4" s="1">
        <v>1.7020584307692161</v>
      </c>
      <c r="K4" s="3">
        <v>0.2</v>
      </c>
      <c r="L4">
        <f>J4*I4*H4/K4</f>
        <v>5531.689899999953</v>
      </c>
      <c r="M4" s="1">
        <f>F4-L4</f>
        <v>4.7293724492192268E-11</v>
      </c>
    </row>
    <row r="5" spans="1:13" x14ac:dyDescent="0.5">
      <c r="A5">
        <v>4</v>
      </c>
      <c r="B5">
        <v>1</v>
      </c>
      <c r="C5">
        <v>4</v>
      </c>
      <c r="D5">
        <v>15</v>
      </c>
      <c r="E5" s="1">
        <v>19.382729000000001</v>
      </c>
      <c r="F5" s="1">
        <v>6134.9224000000004</v>
      </c>
      <c r="G5" s="1">
        <v>19.25</v>
      </c>
      <c r="H5" s="2">
        <v>250</v>
      </c>
      <c r="I5" s="1">
        <v>2.6</v>
      </c>
      <c r="J5" s="1">
        <v>1.8876684193937889</v>
      </c>
      <c r="K5" s="3">
        <v>0.2</v>
      </c>
      <c r="L5">
        <f>J5*I5*H5/K5</f>
        <v>6134.9223630298147</v>
      </c>
      <c r="M5" s="1">
        <f>F5-L5</f>
        <v>3.6970185647078324E-5</v>
      </c>
    </row>
    <row r="6" spans="1:13" x14ac:dyDescent="0.5">
      <c r="A6">
        <v>5</v>
      </c>
      <c r="B6">
        <v>1</v>
      </c>
      <c r="C6">
        <v>5</v>
      </c>
      <c r="D6">
        <v>15</v>
      </c>
      <c r="E6" s="1">
        <v>19.279115999999998</v>
      </c>
      <c r="F6" s="1">
        <v>5536.4951000000001</v>
      </c>
      <c r="G6" s="1">
        <v>19</v>
      </c>
      <c r="H6" s="2">
        <v>250</v>
      </c>
      <c r="I6" s="1">
        <v>2.6</v>
      </c>
      <c r="J6" s="1">
        <v>1.7035369538461456</v>
      </c>
      <c r="K6" s="3">
        <v>0.2</v>
      </c>
      <c r="L6">
        <f>J6*I6*H6/K6</f>
        <v>5536.4950999999719</v>
      </c>
      <c r="M6" s="1">
        <f>F6-L6</f>
        <v>2.8194335754960775E-11</v>
      </c>
    </row>
    <row r="7" spans="1:13" x14ac:dyDescent="0.5">
      <c r="A7">
        <v>6</v>
      </c>
      <c r="B7">
        <v>1</v>
      </c>
      <c r="C7">
        <v>6</v>
      </c>
      <c r="D7">
        <v>15</v>
      </c>
      <c r="E7" s="1">
        <v>19.222436999999999</v>
      </c>
      <c r="F7" s="1">
        <v>3842.1664999999998</v>
      </c>
      <c r="G7" s="1">
        <v>18.75</v>
      </c>
      <c r="H7" s="2">
        <v>250</v>
      </c>
      <c r="I7" s="1">
        <v>2.6</v>
      </c>
      <c r="J7" s="1">
        <v>1.1822050769230772</v>
      </c>
      <c r="K7" s="3">
        <v>0.2</v>
      </c>
      <c r="L7">
        <f>J7*I7*H7/K7</f>
        <v>3842.1665000000012</v>
      </c>
      <c r="M7" s="1">
        <f>F7-L7</f>
        <v>0</v>
      </c>
    </row>
    <row r="8" spans="1:13" x14ac:dyDescent="0.5">
      <c r="A8">
        <v>7</v>
      </c>
      <c r="B8">
        <v>1</v>
      </c>
      <c r="C8">
        <v>7</v>
      </c>
      <c r="D8">
        <v>15</v>
      </c>
      <c r="E8" s="1">
        <v>18.898056</v>
      </c>
      <c r="F8" s="1">
        <v>2865.8071</v>
      </c>
      <c r="G8" s="1">
        <v>18.5</v>
      </c>
      <c r="H8" s="2">
        <v>250</v>
      </c>
      <c r="I8" s="1">
        <v>2.6</v>
      </c>
      <c r="J8" s="1">
        <v>0.88178687546989909</v>
      </c>
      <c r="K8" s="3">
        <v>0.2</v>
      </c>
      <c r="L8">
        <f>J8*I8*H8/K8</f>
        <v>2865.8073452771719</v>
      </c>
      <c r="M8" s="1">
        <f>F8-L8</f>
        <v>-2.4527717187083908E-4</v>
      </c>
    </row>
    <row r="9" spans="1:13" x14ac:dyDescent="0.5">
      <c r="A9">
        <v>8</v>
      </c>
      <c r="B9">
        <v>1</v>
      </c>
      <c r="C9">
        <v>8</v>
      </c>
      <c r="D9">
        <v>15</v>
      </c>
      <c r="E9" s="1">
        <v>18.421654</v>
      </c>
      <c r="F9" s="1">
        <v>4317.8813</v>
      </c>
      <c r="G9" s="1">
        <v>18.25</v>
      </c>
      <c r="H9" s="2">
        <v>250</v>
      </c>
      <c r="I9" s="1">
        <v>2.6</v>
      </c>
      <c r="J9" s="1">
        <v>1.3285787107623015</v>
      </c>
      <c r="K9" s="3">
        <v>0.2</v>
      </c>
      <c r="L9">
        <f>J9*I9*H9/K9</f>
        <v>4317.8808099774797</v>
      </c>
      <c r="M9" s="1">
        <f>F9-L9</f>
        <v>4.9002252035279525E-4</v>
      </c>
    </row>
    <row r="10" spans="1:13" x14ac:dyDescent="0.5">
      <c r="A10">
        <v>9</v>
      </c>
      <c r="B10">
        <v>1</v>
      </c>
      <c r="C10">
        <v>9</v>
      </c>
      <c r="D10">
        <v>15</v>
      </c>
      <c r="E10" s="1">
        <v>18.100408999999999</v>
      </c>
      <c r="F10" s="1">
        <v>4795.5448999999999</v>
      </c>
      <c r="G10" s="1">
        <v>18</v>
      </c>
      <c r="H10" s="2">
        <v>250</v>
      </c>
      <c r="I10" s="1">
        <v>2.6</v>
      </c>
      <c r="J10" s="1">
        <v>1.4755522769230776</v>
      </c>
      <c r="K10" s="3">
        <v>0.2</v>
      </c>
      <c r="L10">
        <f>J10*I10*H10/K10</f>
        <v>4795.5449000000017</v>
      </c>
      <c r="M10" s="1">
        <f>F10-L10</f>
        <v>0</v>
      </c>
    </row>
    <row r="11" spans="1:13" x14ac:dyDescent="0.5">
      <c r="A11">
        <v>10</v>
      </c>
      <c r="B11">
        <v>1</v>
      </c>
      <c r="C11">
        <v>10</v>
      </c>
      <c r="D11">
        <v>15</v>
      </c>
      <c r="E11" s="1">
        <v>18.880199000000001</v>
      </c>
      <c r="F11" s="1">
        <v>4637.5844999999999</v>
      </c>
      <c r="G11" s="1">
        <v>17.75</v>
      </c>
      <c r="H11" s="2">
        <v>250</v>
      </c>
      <c r="I11" s="1">
        <v>2.6</v>
      </c>
      <c r="J11" s="1">
        <v>1.4269490769230717</v>
      </c>
      <c r="K11" s="3">
        <v>0.2</v>
      </c>
      <c r="L11">
        <f>J11*I11*H11/K11</f>
        <v>4637.5844999999827</v>
      </c>
      <c r="M11" s="1">
        <f>F11-L11</f>
        <v>1.7280399333685637E-11</v>
      </c>
    </row>
    <row r="12" spans="1:13" x14ac:dyDescent="0.5">
      <c r="A12">
        <v>11</v>
      </c>
      <c r="B12">
        <v>1</v>
      </c>
      <c r="C12">
        <v>11</v>
      </c>
      <c r="D12">
        <v>15</v>
      </c>
      <c r="E12" s="1">
        <v>18.012450999999999</v>
      </c>
      <c r="F12" s="1">
        <v>4619.0352000000003</v>
      </c>
      <c r="G12" s="1">
        <v>17.5</v>
      </c>
      <c r="H12" s="2">
        <v>250</v>
      </c>
      <c r="I12" s="1">
        <v>2.6</v>
      </c>
      <c r="J12" s="1">
        <v>1.4212416000000003</v>
      </c>
      <c r="K12" s="3">
        <v>0.2</v>
      </c>
      <c r="L12">
        <f>J12*I12*H12/K12</f>
        <v>4619.0352000000012</v>
      </c>
      <c r="M12" s="1">
        <f>F12-L12</f>
        <v>0</v>
      </c>
    </row>
    <row r="13" spans="1:13" x14ac:dyDescent="0.5">
      <c r="A13">
        <v>12</v>
      </c>
      <c r="B13">
        <v>1</v>
      </c>
      <c r="C13">
        <v>12</v>
      </c>
      <c r="D13">
        <v>15</v>
      </c>
      <c r="E13" s="1">
        <v>17.347507</v>
      </c>
      <c r="F13" s="1">
        <v>5474.1566999999995</v>
      </c>
      <c r="G13" s="1">
        <v>17.25</v>
      </c>
      <c r="H13" s="2">
        <v>250</v>
      </c>
      <c r="I13" s="1">
        <v>2.6</v>
      </c>
      <c r="J13" s="1">
        <v>1.6843559076923091</v>
      </c>
      <c r="K13" s="3">
        <v>0.2</v>
      </c>
      <c r="L13">
        <f>J13*I13*H13/K13</f>
        <v>5474.1567000000041</v>
      </c>
      <c r="M13" s="1">
        <f>F13-L13</f>
        <v>0</v>
      </c>
    </row>
    <row r="14" spans="1:13" x14ac:dyDescent="0.5">
      <c r="A14">
        <v>13</v>
      </c>
      <c r="B14">
        <v>1</v>
      </c>
      <c r="C14">
        <v>13</v>
      </c>
      <c r="D14">
        <v>15</v>
      </c>
      <c r="E14" s="1">
        <v>17.325327000000001</v>
      </c>
      <c r="F14" s="1">
        <v>3453.0425</v>
      </c>
      <c r="G14" s="1">
        <v>17</v>
      </c>
      <c r="H14" s="2">
        <v>250</v>
      </c>
      <c r="I14" s="1">
        <v>2.6</v>
      </c>
      <c r="J14" s="1">
        <v>1.0624746466910326</v>
      </c>
      <c r="K14" s="3">
        <v>0.2</v>
      </c>
      <c r="L14">
        <f>J14*I14*H14/K14</f>
        <v>3453.0426017458558</v>
      </c>
      <c r="M14" s="1">
        <f>F14-L14</f>
        <v>-1.0174585577260586E-4</v>
      </c>
    </row>
    <row r="15" spans="1:13" x14ac:dyDescent="0.5">
      <c r="A15">
        <v>14</v>
      </c>
      <c r="B15">
        <v>1</v>
      </c>
      <c r="C15">
        <v>14</v>
      </c>
      <c r="D15">
        <v>15</v>
      </c>
      <c r="E15" s="1">
        <v>17.559322000000002</v>
      </c>
      <c r="F15" s="1">
        <v>6251.0487999999996</v>
      </c>
      <c r="G15" s="1">
        <v>16.75</v>
      </c>
      <c r="H15" s="2">
        <v>250</v>
      </c>
      <c r="I15" s="1">
        <v>2.6</v>
      </c>
      <c r="J15" s="1">
        <v>1.9233996307692296</v>
      </c>
      <c r="K15" s="3">
        <v>0.2</v>
      </c>
      <c r="L15">
        <f>J15*I15*H15/K15</f>
        <v>6251.0487999999959</v>
      </c>
      <c r="M15" s="1">
        <f>F15-L15</f>
        <v>0</v>
      </c>
    </row>
    <row r="16" spans="1:13" x14ac:dyDescent="0.5">
      <c r="A16">
        <v>15</v>
      </c>
      <c r="B16">
        <v>1</v>
      </c>
      <c r="C16">
        <v>15</v>
      </c>
      <c r="D16">
        <v>15</v>
      </c>
      <c r="E16" s="1">
        <v>16.761848000000001</v>
      </c>
      <c r="F16" s="1">
        <v>5306.6225999999997</v>
      </c>
      <c r="G16" s="1">
        <v>16.5</v>
      </c>
      <c r="H16" s="2">
        <v>250</v>
      </c>
      <c r="I16" s="1">
        <v>2.6</v>
      </c>
      <c r="J16" s="1">
        <v>1.6328069538461547</v>
      </c>
      <c r="K16" s="3">
        <v>0.2</v>
      </c>
      <c r="L16">
        <f>J16*I16*H16/K16</f>
        <v>5306.6226000000024</v>
      </c>
      <c r="M16" s="1">
        <f>F16-L16</f>
        <v>0</v>
      </c>
    </row>
    <row r="17" spans="1:13" x14ac:dyDescent="0.5">
      <c r="A17">
        <v>16</v>
      </c>
      <c r="B17">
        <v>1</v>
      </c>
      <c r="C17">
        <v>16</v>
      </c>
      <c r="D17">
        <v>15</v>
      </c>
      <c r="E17" s="1">
        <v>16.278085999999998</v>
      </c>
      <c r="F17" s="1">
        <v>6981.5303000000004</v>
      </c>
      <c r="G17" s="1">
        <v>16.25</v>
      </c>
      <c r="H17" s="2">
        <v>250</v>
      </c>
      <c r="I17" s="1">
        <v>2.6</v>
      </c>
      <c r="J17" s="1">
        <v>2.1481630571582317</v>
      </c>
      <c r="K17" s="3">
        <v>0.2</v>
      </c>
      <c r="L17">
        <f>J17*I17*H17/K17</f>
        <v>6981.5299357642534</v>
      </c>
      <c r="M17" s="1">
        <f>F17-L17</f>
        <v>3.6423574692889815E-4</v>
      </c>
    </row>
    <row r="18" spans="1:13" x14ac:dyDescent="0.5">
      <c r="A18">
        <v>17</v>
      </c>
      <c r="B18">
        <v>1</v>
      </c>
      <c r="C18">
        <v>17</v>
      </c>
      <c r="D18">
        <v>15</v>
      </c>
      <c r="E18" s="1">
        <v>16.414515999999999</v>
      </c>
      <c r="F18" s="1">
        <v>5069.9872999999998</v>
      </c>
      <c r="G18" s="1">
        <v>16</v>
      </c>
      <c r="H18" s="2">
        <v>250</v>
      </c>
      <c r="I18" s="1">
        <v>2.6</v>
      </c>
      <c r="J18" s="1">
        <v>1.559996092307679</v>
      </c>
      <c r="K18" s="3">
        <v>0.2</v>
      </c>
      <c r="L18">
        <f>J18*I18*H18/K18</f>
        <v>5069.987299999957</v>
      </c>
      <c r="M18" s="1">
        <f>F18-L18</f>
        <v>4.2746250983327627E-11</v>
      </c>
    </row>
    <row r="19" spans="1:13" x14ac:dyDescent="0.5">
      <c r="A19">
        <v>18</v>
      </c>
      <c r="B19">
        <v>1</v>
      </c>
      <c r="C19">
        <v>18</v>
      </c>
      <c r="D19">
        <v>15</v>
      </c>
      <c r="E19" s="1">
        <v>15.908072000000001</v>
      </c>
      <c r="F19" s="1">
        <v>4556.2704999999996</v>
      </c>
      <c r="G19" s="1">
        <v>15.75</v>
      </c>
      <c r="H19" s="2">
        <v>250</v>
      </c>
      <c r="I19" s="1">
        <v>2.6</v>
      </c>
      <c r="J19" s="1">
        <v>1.4019293846153835</v>
      </c>
      <c r="K19" s="3">
        <v>0.2</v>
      </c>
      <c r="L19">
        <f>J19*I19*H19/K19</f>
        <v>4556.270499999996</v>
      </c>
      <c r="M19" s="1">
        <f>F19-L19</f>
        <v>0</v>
      </c>
    </row>
    <row r="20" spans="1:13" x14ac:dyDescent="0.5">
      <c r="A20">
        <v>19</v>
      </c>
      <c r="B20">
        <v>1</v>
      </c>
      <c r="C20">
        <v>19</v>
      </c>
      <c r="D20">
        <v>15</v>
      </c>
      <c r="E20" s="1">
        <v>16.064793000000002</v>
      </c>
      <c r="F20" s="1">
        <v>5302.6918999999998</v>
      </c>
      <c r="G20" s="1">
        <v>15.5</v>
      </c>
      <c r="H20" s="2">
        <v>250</v>
      </c>
      <c r="I20" s="1">
        <v>2.6</v>
      </c>
      <c r="J20" s="1">
        <v>1.631597507692309</v>
      </c>
      <c r="K20" s="3">
        <v>0.2</v>
      </c>
      <c r="L20">
        <f>J20*I20*H20/K20</f>
        <v>5302.6919000000053</v>
      </c>
      <c r="M20" s="1">
        <f>F20-L20</f>
        <v>0</v>
      </c>
    </row>
    <row r="21" spans="1:13" x14ac:dyDescent="0.5">
      <c r="A21">
        <v>20</v>
      </c>
      <c r="B21">
        <v>1</v>
      </c>
      <c r="C21">
        <v>20</v>
      </c>
      <c r="D21">
        <v>15</v>
      </c>
      <c r="E21" s="1">
        <v>16.062916000000001</v>
      </c>
      <c r="F21" s="1">
        <v>4765.3676999999998</v>
      </c>
      <c r="G21" s="1">
        <v>15.25</v>
      </c>
      <c r="H21" s="2">
        <v>250</v>
      </c>
      <c r="I21" s="1">
        <v>2.6</v>
      </c>
      <c r="J21" s="1">
        <v>1.4662669846153837</v>
      </c>
      <c r="K21" s="3">
        <v>0.2</v>
      </c>
      <c r="L21">
        <f>J21*I21*H21/K21</f>
        <v>4765.3676999999971</v>
      </c>
      <c r="M21" s="1">
        <f>F21-L21</f>
        <v>0</v>
      </c>
    </row>
    <row r="22" spans="1:13" x14ac:dyDescent="0.5">
      <c r="A22">
        <v>21</v>
      </c>
      <c r="B22">
        <v>1</v>
      </c>
      <c r="C22">
        <v>21</v>
      </c>
      <c r="D22">
        <v>15</v>
      </c>
      <c r="E22" s="1">
        <v>15.515609</v>
      </c>
      <c r="F22" s="1">
        <v>5390.2056000000002</v>
      </c>
      <c r="G22" s="1">
        <v>15</v>
      </c>
      <c r="H22" s="2">
        <v>250</v>
      </c>
      <c r="I22" s="1">
        <v>2.6</v>
      </c>
      <c r="J22" s="1">
        <v>1.6585247999999844</v>
      </c>
      <c r="K22" s="3">
        <v>0.2</v>
      </c>
      <c r="L22">
        <f>J22*I22*H22/K22</f>
        <v>5390.2055999999493</v>
      </c>
      <c r="M22" s="1">
        <f>F22-L22</f>
        <v>5.0931703299283981E-11</v>
      </c>
    </row>
    <row r="23" spans="1:13" x14ac:dyDescent="0.5">
      <c r="A23">
        <v>22</v>
      </c>
      <c r="B23">
        <v>1</v>
      </c>
      <c r="C23">
        <v>22</v>
      </c>
      <c r="D23">
        <v>15</v>
      </c>
      <c r="E23" s="1">
        <v>15.389983000000001</v>
      </c>
      <c r="F23" s="1">
        <v>2649.4949000000001</v>
      </c>
      <c r="G23" s="1">
        <v>14.75</v>
      </c>
      <c r="H23" s="2">
        <v>250</v>
      </c>
      <c r="I23" s="1">
        <v>2.6</v>
      </c>
      <c r="J23" s="1">
        <v>0.81522922747975046</v>
      </c>
      <c r="K23" s="3">
        <v>0.2</v>
      </c>
      <c r="L23">
        <f>J23*I23*H23/K23</f>
        <v>2649.4949893091884</v>
      </c>
      <c r="M23" s="1">
        <f>F23-L23</f>
        <v>-8.9309188297193032E-5</v>
      </c>
    </row>
    <row r="24" spans="1:13" x14ac:dyDescent="0.5">
      <c r="A24">
        <v>23</v>
      </c>
      <c r="B24">
        <v>1</v>
      </c>
      <c r="C24">
        <v>23</v>
      </c>
      <c r="D24">
        <v>15</v>
      </c>
      <c r="E24" s="1">
        <v>15.156992000000001</v>
      </c>
      <c r="F24" s="1">
        <v>4347.3325000000004</v>
      </c>
      <c r="G24" s="1">
        <v>14.5</v>
      </c>
      <c r="H24" s="2">
        <v>250</v>
      </c>
      <c r="I24" s="1">
        <v>2.6</v>
      </c>
      <c r="J24" s="1">
        <v>1.3376408674782858</v>
      </c>
      <c r="K24" s="3">
        <v>0.2</v>
      </c>
      <c r="L24">
        <f>J24*I24*H24/K24</f>
        <v>4347.332819304429</v>
      </c>
      <c r="M24" s="1">
        <f>F24-L24</f>
        <v>-3.1930442855809815E-4</v>
      </c>
    </row>
    <row r="25" spans="1:13" x14ac:dyDescent="0.5">
      <c r="A25">
        <v>24</v>
      </c>
      <c r="B25">
        <v>1</v>
      </c>
      <c r="C25">
        <v>24</v>
      </c>
      <c r="D25">
        <v>15</v>
      </c>
      <c r="E25" s="1">
        <v>15.010956</v>
      </c>
      <c r="F25" s="1">
        <v>5109.5708000000004</v>
      </c>
      <c r="G25" s="1">
        <v>14.25</v>
      </c>
      <c r="H25" s="2">
        <v>250</v>
      </c>
      <c r="I25" s="1">
        <v>2.6</v>
      </c>
      <c r="J25" s="1">
        <v>1.5721756307692312</v>
      </c>
      <c r="K25" s="3">
        <v>0.2</v>
      </c>
      <c r="L25">
        <f>J25*I25*H25/K25</f>
        <v>5109.5708000000013</v>
      </c>
      <c r="M25" s="1">
        <f>F25-L25</f>
        <v>0</v>
      </c>
    </row>
    <row r="26" spans="1:13" x14ac:dyDescent="0.5">
      <c r="A26">
        <v>25</v>
      </c>
      <c r="B26">
        <v>1</v>
      </c>
      <c r="C26">
        <v>25</v>
      </c>
      <c r="D26">
        <v>15</v>
      </c>
      <c r="E26" s="1">
        <v>14.896452</v>
      </c>
      <c r="F26" s="1">
        <v>3704.7141000000001</v>
      </c>
      <c r="G26" s="1">
        <v>14</v>
      </c>
      <c r="H26" s="2">
        <v>250</v>
      </c>
      <c r="I26" s="1">
        <v>2.6</v>
      </c>
      <c r="J26" s="1">
        <v>1.1399120528376903</v>
      </c>
      <c r="K26" s="3">
        <v>0.2</v>
      </c>
      <c r="L26">
        <f>J26*I26*H26/K26</f>
        <v>3704.7141717224931</v>
      </c>
      <c r="M26" s="1">
        <f>F26-L26</f>
        <v>-7.1722492975823116E-5</v>
      </c>
    </row>
    <row r="27" spans="1:13" x14ac:dyDescent="0.5">
      <c r="A27">
        <v>26</v>
      </c>
      <c r="B27">
        <v>1</v>
      </c>
      <c r="C27">
        <v>26</v>
      </c>
      <c r="D27">
        <v>15</v>
      </c>
      <c r="E27" s="1">
        <v>14.486598000000001</v>
      </c>
      <c r="F27" s="1">
        <v>3710.6111000000001</v>
      </c>
      <c r="G27" s="1">
        <v>13.75</v>
      </c>
      <c r="H27" s="2">
        <v>250</v>
      </c>
      <c r="I27" s="1">
        <v>2.6</v>
      </c>
      <c r="J27" s="1">
        <v>1.1417262392169978</v>
      </c>
      <c r="K27" s="3">
        <v>0.2</v>
      </c>
      <c r="L27">
        <f>J27*I27*H27/K27</f>
        <v>3710.6102774552428</v>
      </c>
      <c r="M27" s="1">
        <f>F27-L27</f>
        <v>8.2254475728404941E-4</v>
      </c>
    </row>
    <row r="28" spans="1:13" x14ac:dyDescent="0.5">
      <c r="A28">
        <v>27</v>
      </c>
      <c r="B28">
        <v>1</v>
      </c>
      <c r="C28">
        <v>27</v>
      </c>
      <c r="D28">
        <v>15</v>
      </c>
      <c r="E28" s="1">
        <v>14.168089</v>
      </c>
      <c r="F28" s="1">
        <v>4483.9775</v>
      </c>
      <c r="G28" s="1">
        <v>13.5</v>
      </c>
      <c r="H28" s="2">
        <v>250</v>
      </c>
      <c r="I28" s="1">
        <v>2.6</v>
      </c>
      <c r="J28" s="1">
        <v>1.3796853846153916</v>
      </c>
      <c r="K28" s="3">
        <v>0.2</v>
      </c>
      <c r="L28">
        <f>J28*I28*H28/K28</f>
        <v>4483.9775000000218</v>
      </c>
      <c r="M28" s="1">
        <f>F28-L28</f>
        <v>-2.1827872842550278E-11</v>
      </c>
    </row>
    <row r="29" spans="1:13" x14ac:dyDescent="0.5">
      <c r="A29">
        <v>28</v>
      </c>
      <c r="B29">
        <v>1</v>
      </c>
      <c r="C29">
        <v>28</v>
      </c>
      <c r="D29">
        <v>15</v>
      </c>
      <c r="E29" s="1">
        <v>14.006746</v>
      </c>
      <c r="F29" s="1">
        <v>4404.6489000000001</v>
      </c>
      <c r="G29" s="1">
        <v>13.25</v>
      </c>
      <c r="H29" s="2">
        <v>250</v>
      </c>
      <c r="I29" s="1">
        <v>2.6</v>
      </c>
      <c r="J29" s="1">
        <v>1.3552764313944574</v>
      </c>
      <c r="K29" s="3">
        <v>0.2</v>
      </c>
      <c r="L29">
        <f>J29*I29*H29/K29</f>
        <v>4404.6484020319867</v>
      </c>
      <c r="M29" s="1">
        <f>F29-L29</f>
        <v>4.9796801340562524E-4</v>
      </c>
    </row>
    <row r="30" spans="1:13" x14ac:dyDescent="0.5">
      <c r="A30">
        <v>29</v>
      </c>
      <c r="B30">
        <v>1</v>
      </c>
      <c r="C30">
        <v>29</v>
      </c>
      <c r="D30">
        <v>15</v>
      </c>
      <c r="E30" s="1">
        <v>13.732526999999999</v>
      </c>
      <c r="F30" s="1">
        <v>5105.4380000000001</v>
      </c>
      <c r="G30" s="1">
        <v>13</v>
      </c>
      <c r="H30" s="2">
        <v>250</v>
      </c>
      <c r="I30" s="1">
        <v>2.6</v>
      </c>
      <c r="J30" s="1">
        <v>1.5709041850027656</v>
      </c>
      <c r="K30" s="3">
        <v>0.2</v>
      </c>
      <c r="L30">
        <f>J30*I30*H30/K30</f>
        <v>5105.4386012589875</v>
      </c>
      <c r="M30" s="1">
        <f>F30-L30</f>
        <v>-6.0125898744445294E-4</v>
      </c>
    </row>
    <row r="31" spans="1:13" x14ac:dyDescent="0.5">
      <c r="A31">
        <v>30</v>
      </c>
      <c r="B31">
        <v>1</v>
      </c>
      <c r="C31">
        <v>30</v>
      </c>
      <c r="D31">
        <v>15</v>
      </c>
      <c r="E31" s="1">
        <v>13.583859</v>
      </c>
      <c r="F31" s="1">
        <v>5619.8568999999998</v>
      </c>
      <c r="G31" s="1">
        <v>12.75</v>
      </c>
      <c r="H31" s="2">
        <v>250</v>
      </c>
      <c r="I31" s="1">
        <v>2.6</v>
      </c>
      <c r="J31" s="1">
        <v>1.7291869665601711</v>
      </c>
      <c r="K31" s="3">
        <v>0.2</v>
      </c>
      <c r="L31">
        <f>J31*I31*H31/K31</f>
        <v>5619.8576413205556</v>
      </c>
      <c r="M31" s="1">
        <f>F31-L31</f>
        <v>-7.4132055578957079E-4</v>
      </c>
    </row>
    <row r="32" spans="1:13" x14ac:dyDescent="0.5">
      <c r="A32">
        <v>31</v>
      </c>
      <c r="B32">
        <v>1</v>
      </c>
      <c r="C32">
        <v>31</v>
      </c>
      <c r="D32">
        <v>15</v>
      </c>
      <c r="E32" s="1">
        <v>13.322803</v>
      </c>
      <c r="F32" s="1">
        <v>3491.6846</v>
      </c>
      <c r="G32" s="1">
        <v>12.5</v>
      </c>
      <c r="H32" s="2">
        <v>250</v>
      </c>
      <c r="I32" s="1">
        <v>2.6</v>
      </c>
      <c r="J32" s="1">
        <v>1.07436461246239</v>
      </c>
      <c r="K32" s="3">
        <v>0.2</v>
      </c>
      <c r="L32">
        <f>J32*I32*H32/K32</f>
        <v>3491.6849905027675</v>
      </c>
      <c r="M32" s="1">
        <f>F32-L32</f>
        <v>-3.9050276745911106E-4</v>
      </c>
    </row>
    <row r="33" spans="1:13" x14ac:dyDescent="0.5">
      <c r="A33">
        <v>32</v>
      </c>
      <c r="B33">
        <v>1</v>
      </c>
      <c r="C33">
        <v>32</v>
      </c>
      <c r="D33">
        <v>15</v>
      </c>
      <c r="E33" s="1">
        <v>13.137551999999999</v>
      </c>
      <c r="F33" s="1">
        <v>5514.8793999999998</v>
      </c>
      <c r="G33" s="1">
        <v>12.25</v>
      </c>
      <c r="H33" s="2">
        <v>250</v>
      </c>
      <c r="I33" s="1">
        <v>2.6</v>
      </c>
      <c r="J33" s="1">
        <v>1.6968859692307723</v>
      </c>
      <c r="K33" s="3">
        <v>0.2</v>
      </c>
      <c r="L33">
        <f>J33*I33*H33/K33</f>
        <v>5514.8794000000098</v>
      </c>
      <c r="M33" s="1">
        <f>F33-L33</f>
        <v>-1.0004441719502211E-11</v>
      </c>
    </row>
    <row r="34" spans="1:13" x14ac:dyDescent="0.5">
      <c r="A34">
        <v>33</v>
      </c>
      <c r="B34">
        <v>1</v>
      </c>
      <c r="C34">
        <v>33</v>
      </c>
      <c r="D34">
        <v>15</v>
      </c>
      <c r="E34" s="1">
        <v>12.846494</v>
      </c>
      <c r="F34" s="1">
        <v>4310.2739000000001</v>
      </c>
      <c r="G34" s="1">
        <v>12</v>
      </c>
      <c r="H34" s="2">
        <v>250</v>
      </c>
      <c r="I34" s="1">
        <v>2.6</v>
      </c>
      <c r="J34" s="1">
        <v>1.3262381230769216</v>
      </c>
      <c r="K34" s="3">
        <v>0.2</v>
      </c>
      <c r="L34">
        <f>J34*I34*H34/K34</f>
        <v>4310.2738999999947</v>
      </c>
      <c r="M34" s="1">
        <f>F34-L34</f>
        <v>0</v>
      </c>
    </row>
    <row r="35" spans="1:13" x14ac:dyDescent="0.5">
      <c r="A35">
        <v>34</v>
      </c>
      <c r="B35">
        <v>1</v>
      </c>
      <c r="C35">
        <v>34</v>
      </c>
      <c r="D35">
        <v>15</v>
      </c>
      <c r="E35" s="1">
        <v>12.551982000000001</v>
      </c>
      <c r="F35" s="1">
        <v>6269.9092000000001</v>
      </c>
      <c r="G35" s="1">
        <v>11.75</v>
      </c>
      <c r="H35" s="2">
        <v>250</v>
      </c>
      <c r="I35" s="1">
        <v>2.6</v>
      </c>
      <c r="J35" s="1">
        <v>1.9292028307692306</v>
      </c>
      <c r="K35" s="3">
        <v>0.2</v>
      </c>
      <c r="L35">
        <f>J35*I35*H35/K35</f>
        <v>6269.9091999999991</v>
      </c>
      <c r="M35" s="1">
        <f>F35-L35</f>
        <v>0</v>
      </c>
    </row>
    <row r="36" spans="1:13" x14ac:dyDescent="0.5">
      <c r="A36">
        <v>35</v>
      </c>
      <c r="B36">
        <v>1</v>
      </c>
      <c r="C36">
        <v>35</v>
      </c>
      <c r="D36">
        <v>15</v>
      </c>
      <c r="E36" s="1">
        <v>12.217071000000001</v>
      </c>
      <c r="F36" s="1">
        <v>5453.1768000000002</v>
      </c>
      <c r="G36" s="1">
        <v>11.5</v>
      </c>
      <c r="H36" s="2">
        <v>250</v>
      </c>
      <c r="I36" s="1">
        <v>2.6</v>
      </c>
      <c r="J36" s="1">
        <v>1.6779005133966889</v>
      </c>
      <c r="K36" s="3">
        <v>0.2</v>
      </c>
      <c r="L36">
        <f>J36*I36*H36/K36</f>
        <v>5453.1766685392386</v>
      </c>
      <c r="M36" s="1">
        <f>F36-L36</f>
        <v>1.3146076162229292E-4</v>
      </c>
    </row>
    <row r="37" spans="1:13" x14ac:dyDescent="0.5">
      <c r="A37">
        <v>36</v>
      </c>
      <c r="B37">
        <v>1</v>
      </c>
      <c r="C37">
        <v>36</v>
      </c>
      <c r="D37">
        <v>15</v>
      </c>
      <c r="E37" s="1">
        <v>12.246086</v>
      </c>
      <c r="F37" s="1">
        <v>4212.1459999999997</v>
      </c>
      <c r="G37" s="1">
        <v>11.25</v>
      </c>
      <c r="H37" s="2">
        <v>250</v>
      </c>
      <c r="I37" s="1">
        <v>2.6</v>
      </c>
      <c r="J37" s="1">
        <v>1.2960450542578352</v>
      </c>
      <c r="K37" s="3">
        <v>0.2</v>
      </c>
      <c r="L37">
        <f>J37*I37*H37/K37</f>
        <v>4212.1464263379648</v>
      </c>
      <c r="M37" s="1">
        <f>F37-L37</f>
        <v>-4.2633796510926913E-4</v>
      </c>
    </row>
    <row r="38" spans="1:13" x14ac:dyDescent="0.5">
      <c r="A38">
        <v>37</v>
      </c>
      <c r="B38">
        <v>1</v>
      </c>
      <c r="C38">
        <v>37</v>
      </c>
      <c r="D38">
        <v>15</v>
      </c>
      <c r="E38" s="1">
        <v>11.845172</v>
      </c>
      <c r="F38" s="1">
        <v>6121.2671</v>
      </c>
      <c r="G38" s="1">
        <v>11</v>
      </c>
      <c r="H38" s="2">
        <v>250</v>
      </c>
      <c r="I38" s="1">
        <v>2.6</v>
      </c>
      <c r="J38" s="1">
        <v>1.8834669489087001</v>
      </c>
      <c r="K38" s="3">
        <v>0.2</v>
      </c>
      <c r="L38">
        <f>J38*I38*H38/K38</f>
        <v>6121.2675839532749</v>
      </c>
      <c r="M38" s="1">
        <f>F38-L38</f>
        <v>-4.8395327485195594E-4</v>
      </c>
    </row>
    <row r="39" spans="1:13" x14ac:dyDescent="0.5">
      <c r="A39">
        <v>38</v>
      </c>
      <c r="B39">
        <v>1</v>
      </c>
      <c r="C39">
        <v>38</v>
      </c>
      <c r="D39">
        <v>15</v>
      </c>
      <c r="E39" s="1">
        <v>11.901992999999999</v>
      </c>
      <c r="F39" s="1">
        <v>6083.3500999999997</v>
      </c>
      <c r="G39" s="1">
        <v>10.75</v>
      </c>
      <c r="H39" s="2">
        <v>250</v>
      </c>
      <c r="I39" s="1">
        <v>2.6</v>
      </c>
      <c r="J39" s="1">
        <v>1.8718000307692295</v>
      </c>
      <c r="K39" s="3">
        <v>0.2</v>
      </c>
      <c r="L39">
        <f>J39*I39*H39/K39</f>
        <v>6083.3500999999951</v>
      </c>
      <c r="M39" s="1">
        <f>F39-L39</f>
        <v>0</v>
      </c>
    </row>
    <row r="40" spans="1:13" x14ac:dyDescent="0.5">
      <c r="A40">
        <v>39</v>
      </c>
      <c r="B40">
        <v>1</v>
      </c>
      <c r="C40">
        <v>39</v>
      </c>
      <c r="D40">
        <v>15</v>
      </c>
      <c r="E40" s="1">
        <v>11.484953000000001</v>
      </c>
      <c r="F40" s="1">
        <v>3721.0630000000001</v>
      </c>
      <c r="G40" s="1">
        <v>10.5</v>
      </c>
      <c r="H40" s="2">
        <v>250</v>
      </c>
      <c r="I40" s="1">
        <v>2.6</v>
      </c>
      <c r="J40" s="1">
        <v>1.1449424615384605</v>
      </c>
      <c r="K40" s="3">
        <v>0.2</v>
      </c>
      <c r="L40">
        <f>J40*I40*H40/K40</f>
        <v>3721.0629999999969</v>
      </c>
      <c r="M40" s="1">
        <f>F40-L40</f>
        <v>0</v>
      </c>
    </row>
    <row r="41" spans="1:13" x14ac:dyDescent="0.5">
      <c r="A41">
        <v>40</v>
      </c>
      <c r="B41">
        <v>1</v>
      </c>
      <c r="C41">
        <v>40</v>
      </c>
      <c r="D41">
        <v>15</v>
      </c>
      <c r="E41" s="1">
        <v>11.235225</v>
      </c>
      <c r="F41" s="1">
        <v>5426.7632000000003</v>
      </c>
      <c r="G41" s="1">
        <v>10.25</v>
      </c>
      <c r="H41" s="2">
        <v>250</v>
      </c>
      <c r="I41" s="1">
        <v>2.6</v>
      </c>
      <c r="J41" s="1">
        <v>1.6697732923076889</v>
      </c>
      <c r="K41" s="3">
        <v>0.2</v>
      </c>
      <c r="L41">
        <f>J41*I41*H41/K41</f>
        <v>5426.7631999999885</v>
      </c>
      <c r="M41" s="1">
        <f>F41-L41</f>
        <v>1.1823431123048067E-11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Morway, Eric</dc:creator>
  <cp:lastModifiedBy>Morway, Eric</cp:lastModifiedBy>
  <dcterms:created xsi:type="dcterms:W3CDTF">2019-10-04T16:55:23Z</dcterms:created>
  <dcterms:modified xsi:type="dcterms:W3CDTF">2019-10-04T19:04:46Z</dcterms:modified>
</cp:coreProperties>
</file>